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3B12DE95-6A44-4314-A5CC-573AB275EC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49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<sst xmlns="http://schemas.openxmlformats.org/spreadsheetml/2006/main" count="60" uniqueCount="38">
  <si>
    <t>Category</t>
  </si>
  <si>
    <t>Branch</t>
  </si>
  <si>
    <t>Sum of Total_Sales</t>
  </si>
  <si>
    <t>Electronics</t>
  </si>
  <si>
    <t>Dammam</t>
  </si>
  <si>
    <t>Riyadh</t>
  </si>
  <si>
    <t>Electronics Total</t>
  </si>
  <si>
    <t>Stationery</t>
  </si>
  <si>
    <t>Jeddah</t>
  </si>
  <si>
    <t>Stationery Total</t>
  </si>
  <si>
    <t>Books</t>
  </si>
  <si>
    <t>Khobar</t>
  </si>
  <si>
    <t>Books Total</t>
  </si>
  <si>
    <t>Grand Total</t>
  </si>
  <si>
    <t>Date</t>
  </si>
  <si>
    <t>Transaction_ID</t>
  </si>
  <si>
    <t>Item_Description</t>
  </si>
  <si>
    <t>Quantity</t>
  </si>
  <si>
    <t>Unit_Price</t>
  </si>
  <si>
    <t>Payment_Method</t>
  </si>
  <si>
    <t>Total_Sales</t>
  </si>
  <si>
    <t>TR-1001</t>
  </si>
  <si>
    <t>iPhone 15 Pro</t>
  </si>
  <si>
    <t>Card</t>
  </si>
  <si>
    <t>TR-1002</t>
  </si>
  <si>
    <t>Atomic Habits</t>
  </si>
  <si>
    <t>Cash</t>
  </si>
  <si>
    <t>TR-1003</t>
  </si>
  <si>
    <t>Faber-Castell Set</t>
  </si>
  <si>
    <t>TR-1004</t>
  </si>
  <si>
    <t>MacBook Air M2</t>
  </si>
  <si>
    <t>Installment</t>
  </si>
  <si>
    <t>TR-1005</t>
  </si>
  <si>
    <t>رواية خوف</t>
  </si>
  <si>
    <t>TR-1006</t>
  </si>
  <si>
    <t>Office Chair</t>
  </si>
  <si>
    <t>TR-1007</t>
  </si>
  <si>
    <t>iPad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</si>
</sst>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0" fillId="0" borderId="0" xfId="0" applyNumberFormat="1" applyBorder="1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0" fillId="0" borderId="0" xfId="0" pivotButton="1"/>
    <xf numFmtId="1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194081944443" createdVersion="8" refreshedVersion="8" minRefreshableVersion="3" recordCount="7" xr:uid="{DE178470-10D9-411A-8C25-07E2B89DD45A}">
  <cacheSource type="worksheet">
    <worksheetSource name="Table1"/>
  </cacheSource>
  <cacheFields count="9">
    <cacheField name="Date" numFmtId="14">
      <sharedItems containsSemiMixedTypes="0" containsNonDate="0" containsDate="1" containsString="0" minDate="2026-01-01T00:00:00" maxDate="2026-01-05T00:00:00"/>
    </cacheField>
    <cacheField name="Transaction_ID" numFmtId="0">
      <sharedItems/>
    </cacheField>
    <cacheField name="Category" numFmtId="0">
      <sharedItems count="3">
        <s v="Electronics"/>
        <s v="Books"/>
        <s v="Stationery"/>
      </sharedItems>
    </cacheField>
    <cacheField name="Item_Description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containsInteger="1" minValue="45" maxValue="4800"/>
    </cacheField>
    <cacheField name="Payment_Method" numFmtId="0">
      <sharedItems count="3">
        <s v="Card"/>
        <s v="Cash"/>
        <s v="Installment"/>
      </sharedItems>
    </cacheField>
    <cacheField name="Branch" numFmtId="0">
      <sharedItems count="4">
        <s v="Riyadh"/>
        <s v="Jeddah"/>
        <s v="Dammam"/>
        <s v="Khobar"/>
      </sharedItems>
    </cacheField>
    <cacheField name="Total_Sales" numFmtId="0">
      <sharedItems containsSemiMixedTypes="0" containsString="0" containsNumber="1" containsInteger="1" minValue="325" maxValue="8400" count="7">
        <n v="8400"/>
        <n v="325"/>
        <n v="540"/>
        <n v="4800"/>
        <n v="440"/>
        <n v="1050"/>
        <n v="5200"/>
      </sharedItems>
    </cacheField>
  </cacheFields>
  <extLst>
    <ext xmlns:x14="http://schemas.microsoft.com/office/spreadsheetml/2009/9/main" uri="{725AE2AE-9491-48be-B2B4-4EB974FC3084}">
      <x14:pivotCacheDefinition pivotCacheId="12997710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1-01T00:00:00"/>
    <s v="TR-1001"/>
    <x v="0"/>
    <s v="iPhone 15 Pro"/>
    <n v="2"/>
    <n v="4200"/>
    <x v="0"/>
    <x v="0"/>
    <x v="0"/>
  </r>
  <r>
    <d v="2026-01-01T00:00:00"/>
    <s v="TR-1002"/>
    <x v="1"/>
    <s v="Atomic Habits"/>
    <n v="5"/>
    <n v="65"/>
    <x v="1"/>
    <x v="1"/>
    <x v="1"/>
  </r>
  <r>
    <d v="2026-01-02T00:00:00"/>
    <s v="TR-1003"/>
    <x v="2"/>
    <s v="Faber-Castell Set"/>
    <n v="12"/>
    <n v="45"/>
    <x v="0"/>
    <x v="2"/>
    <x v="2"/>
  </r>
  <r>
    <d v="2026-01-02T00:00:00"/>
    <s v="TR-1004"/>
    <x v="0"/>
    <s v="MacBook Air M2"/>
    <n v="1"/>
    <n v="4800"/>
    <x v="2"/>
    <x v="0"/>
    <x v="3"/>
  </r>
  <r>
    <d v="2026-01-03T00:00:00"/>
    <s v="TR-1005"/>
    <x v="1"/>
    <s v="رواية خوف"/>
    <n v="8"/>
    <n v="55"/>
    <x v="1"/>
    <x v="3"/>
    <x v="4"/>
  </r>
  <r>
    <d v="2026-01-03T00:00:00"/>
    <s v="TR-1006"/>
    <x v="2"/>
    <s v="Office Chair"/>
    <n v="3"/>
    <n v="350"/>
    <x v="0"/>
    <x v="1"/>
    <x v="5"/>
  </r>
  <r>
    <d v="2026-01-04T00:00:00"/>
    <s v="TR-1007"/>
    <x v="0"/>
    <s v="iPad Air"/>
    <n v="2"/>
    <n v="2600"/>
    <x v="0"/>
    <x v="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A2AE3-5E33-4C42-BE59-407B0481BB69}" name="PivotTable4" cacheId="49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1" firstHeaderRow="1" firstDataRow="1" firstDataCol="2"/>
  <pivotFields count="9">
    <pivotField compact="0" numFmtId="14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1"/>
        <item h="1" x="2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dataField="1" compact="0" outline="0" showAll="0">
      <items count="8">
        <item x="1"/>
        <item x="4"/>
        <item x="2"/>
        <item x="5"/>
        <item x="3"/>
        <item x="6"/>
        <item x="0"/>
        <item t="default"/>
      </items>
    </pivotField>
  </pivotFields>
  <rowFields count="2">
    <field x="2"/>
    <field x="7"/>
  </rowFields>
  <rowItems count="10">
    <i>
      <x v="1"/>
      <x/>
    </i>
    <i r="1">
      <x v="3"/>
    </i>
    <i t="default">
      <x v="1"/>
    </i>
    <i>
      <x/>
      <x/>
    </i>
    <i r="1">
      <x v="1"/>
    </i>
    <i t="default">
      <x/>
    </i>
    <i>
      <x v="2"/>
      <x v="1"/>
    </i>
    <i r="1">
      <x v="2"/>
    </i>
    <i t="default">
      <x v="2"/>
    </i>
    <i t="grand">
      <x/>
    </i>
  </rowItems>
  <colItems count="1">
    <i/>
  </colItems>
  <dataFields count="1">
    <dataField name="Sum of Total_Sales" fld="8" showDataAs="percentOfTotal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0D8B0-1C3D-4A86-A83F-9B2F2CD7F038}" name="Table1" displayName="Table1" ref="A1:I8" totalsRowShown="0" headerRowDxfId="11" dataDxfId="10" tableBorderDxfId="9">
  <autoFilter ref="A1:I8" xr:uid="{5320D8B0-1C3D-4A86-A83F-9B2F2CD7F038}"/>
  <tableColumns count="9">
    <tableColumn id="1" xr3:uid="{2031D569-6C53-4AAB-BF4C-5261F2DFAAD3}" name="Date" dataDxfId="8"/>
    <tableColumn id="2" xr3:uid="{7E73BA68-3712-490D-AD1C-550FA13895C6}" name="Transaction_ID" dataDxfId="7"/>
    <tableColumn id="3" xr3:uid="{A655FA9E-22B6-4703-8BF6-C9BAE197C577}" name="Category" dataDxfId="6"/>
    <tableColumn id="4" xr3:uid="{BD7D2B19-5E84-4010-9282-F6DB2BD07071}" name="Item_Description" dataDxfId="5"/>
    <tableColumn id="5" xr3:uid="{4BDB35E6-C5DF-4D78-ACCE-5E456324F26B}" name="Quantity" dataDxfId="4"/>
    <tableColumn id="6" xr3:uid="{15FEBA40-0AF9-407D-B84B-0D572A1F9984}" name="Unit_Price" dataDxfId="3"/>
    <tableColumn id="7" xr3:uid="{6710C890-E284-4FE3-A7BC-F49D75D345B2}" name="Payment_Method" dataDxfId="2"/>
    <tableColumn id="8" xr3:uid="{4FFD4CFC-2806-43C1-8516-5A02BEEE70DB}" name="Branch" dataDxfId="1"/>
    <tableColumn id="9" xr3:uid="{05569739-3D64-4541-8F21-690D7968B2CB}" name="Total_Sales" dataDxfId="0">
      <calculatedColumnFormula>PRODUCT(E2:F2)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235D-7675-465B-B272-947FB86CD743}">
  <dimension ref="A1:C11"/>
  <sheetViews>
    <sheetView tabSelected="1" workbookViewId="0">
      <selection sqref="A1:C11"/>
    </sheetView>
  </sheetViews>
  <sheetFormatPr defaultRowHeight="15"/>
  <cols>
    <col min="1" max="1" width="12.28515625" bestFit="1" customWidth="1"/>
    <col min="2" max="2" width="10.5703125" bestFit="1" customWidth="1"/>
    <col min="3" max="3" width="18.28515625" bestFit="1" customWidth="1"/>
    <col min="4" max="4" width="10.42578125" bestFit="1" customWidth="1"/>
    <col min="5" max="5" width="11.7109375" bestFit="1" customWidth="1"/>
  </cols>
  <sheetData>
    <row r="1" spans="1:3">
      <c r="A1" s="7" t="s">
        <v>0</v>
      </c>
      <c r="B1" s="7" t="s">
        <v>1</v>
      </c>
      <c r="C1" t="s">
        <v>2</v>
      </c>
    </row>
    <row r="2" spans="1:3">
      <c r="A2" t="s">
        <v>3</v>
      </c>
      <c r="B2" t="s">
        <v>4</v>
      </c>
      <c r="C2" s="8">
        <v>0.25054203806311731</v>
      </c>
    </row>
    <row r="3" spans="1:3">
      <c r="B3" t="s">
        <v>5</v>
      </c>
      <c r="C3" s="8">
        <v>0.63599132739099007</v>
      </c>
    </row>
    <row r="4" spans="1:3">
      <c r="A4" t="s">
        <v>6</v>
      </c>
      <c r="C4" s="8">
        <v>0.88653336545410744</v>
      </c>
    </row>
    <row r="5" spans="1:3">
      <c r="A5" t="s">
        <v>7</v>
      </c>
      <c r="B5" t="s">
        <v>4</v>
      </c>
      <c r="C5" s="8">
        <v>2.6017827029631416E-2</v>
      </c>
    </row>
    <row r="6" spans="1:3">
      <c r="B6" t="s">
        <v>8</v>
      </c>
      <c r="C6" s="8">
        <v>5.0590219224283306E-2</v>
      </c>
    </row>
    <row r="7" spans="1:3">
      <c r="A7" t="s">
        <v>9</v>
      </c>
      <c r="C7" s="8">
        <v>7.6608046253914722E-2</v>
      </c>
    </row>
    <row r="8" spans="1:3">
      <c r="A8" t="s">
        <v>10</v>
      </c>
      <c r="B8" t="s">
        <v>8</v>
      </c>
      <c r="C8" s="8">
        <v>1.5658877378944832E-2</v>
      </c>
    </row>
    <row r="9" spans="1:3">
      <c r="B9" t="s">
        <v>11</v>
      </c>
      <c r="C9" s="8">
        <v>2.1199710913033003E-2</v>
      </c>
    </row>
    <row r="10" spans="1:3">
      <c r="A10" t="s">
        <v>12</v>
      </c>
      <c r="C10" s="8">
        <v>3.6858588291977835E-2</v>
      </c>
    </row>
    <row r="11" spans="1:3">
      <c r="A11" t="s">
        <v>13</v>
      </c>
      <c r="C11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sqref="A1:I8"/>
    </sheetView>
  </sheetViews>
  <sheetFormatPr defaultRowHeight="15"/>
  <cols>
    <col min="1" max="1" width="8.42578125" bestFit="1" customWidth="1"/>
    <col min="2" max="2" width="17" bestFit="1" customWidth="1"/>
    <col min="3" max="3" width="11.42578125" bestFit="1" customWidth="1"/>
    <col min="4" max="4" width="18.5703125" bestFit="1" customWidth="1"/>
    <col min="5" max="5" width="11" bestFit="1" customWidth="1"/>
    <col min="6" max="6" width="12.5703125" bestFit="1" customWidth="1"/>
    <col min="7" max="7" width="19" bestFit="1" customWidth="1"/>
    <col min="8" max="8" width="9.85546875" bestFit="1" customWidth="1"/>
    <col min="9" max="9" width="13.5703125" bestFit="1" customWidth="1"/>
  </cols>
  <sheetData>
    <row r="1" spans="1:9">
      <c r="A1" s="4" t="s">
        <v>14</v>
      </c>
      <c r="B1" s="5" t="s">
        <v>15</v>
      </c>
      <c r="C1" s="5" t="s">
        <v>0</v>
      </c>
      <c r="D1" s="5" t="s">
        <v>16</v>
      </c>
      <c r="E1" s="5" t="s">
        <v>17</v>
      </c>
      <c r="F1" s="5" t="s">
        <v>18</v>
      </c>
      <c r="G1" s="5" t="s">
        <v>19</v>
      </c>
      <c r="H1" s="6" t="s">
        <v>1</v>
      </c>
      <c r="I1" t="s">
        <v>20</v>
      </c>
    </row>
    <row r="2" spans="1:9">
      <c r="A2" s="1">
        <v>46023</v>
      </c>
      <c r="B2" s="2" t="s">
        <v>21</v>
      </c>
      <c r="C2" s="2" t="s">
        <v>3</v>
      </c>
      <c r="D2" s="2" t="s">
        <v>22</v>
      </c>
      <c r="E2" s="2">
        <v>2</v>
      </c>
      <c r="F2" s="2">
        <v>4200</v>
      </c>
      <c r="G2" s="2" t="s">
        <v>23</v>
      </c>
      <c r="H2" s="2" t="s">
        <v>5</v>
      </c>
      <c r="I2" s="3">
        <f>PRODUCT(E2:F2)</f>
        <v>8400</v>
      </c>
    </row>
    <row r="3" spans="1:9">
      <c r="A3" s="1">
        <v>46023</v>
      </c>
      <c r="B3" s="2" t="s">
        <v>24</v>
      </c>
      <c r="C3" s="2" t="s">
        <v>10</v>
      </c>
      <c r="D3" s="2" t="s">
        <v>25</v>
      </c>
      <c r="E3" s="2">
        <v>5</v>
      </c>
      <c r="F3" s="2">
        <v>65</v>
      </c>
      <c r="G3" s="2" t="s">
        <v>26</v>
      </c>
      <c r="H3" s="2" t="s">
        <v>8</v>
      </c>
      <c r="I3" s="3">
        <f t="shared" ref="I3:I8" si="0">PRODUCT(E3:F3)</f>
        <v>325</v>
      </c>
    </row>
    <row r="4" spans="1:9">
      <c r="A4" s="1">
        <v>46024</v>
      </c>
      <c r="B4" s="2" t="s">
        <v>27</v>
      </c>
      <c r="C4" s="2" t="s">
        <v>7</v>
      </c>
      <c r="D4" s="2" t="s">
        <v>28</v>
      </c>
      <c r="E4" s="2">
        <v>12</v>
      </c>
      <c r="F4" s="2">
        <v>45</v>
      </c>
      <c r="G4" s="2" t="s">
        <v>23</v>
      </c>
      <c r="H4" s="2" t="s">
        <v>4</v>
      </c>
      <c r="I4" s="3">
        <f t="shared" si="0"/>
        <v>540</v>
      </c>
    </row>
    <row r="5" spans="1:9">
      <c r="A5" s="1">
        <v>46024</v>
      </c>
      <c r="B5" s="2" t="s">
        <v>29</v>
      </c>
      <c r="C5" s="2" t="s">
        <v>3</v>
      </c>
      <c r="D5" s="2" t="s">
        <v>30</v>
      </c>
      <c r="E5" s="2">
        <v>1</v>
      </c>
      <c r="F5" s="2">
        <v>4800</v>
      </c>
      <c r="G5" s="2" t="s">
        <v>31</v>
      </c>
      <c r="H5" s="2" t="s">
        <v>5</v>
      </c>
      <c r="I5" s="3">
        <f t="shared" si="0"/>
        <v>4800</v>
      </c>
    </row>
    <row r="6" spans="1:9">
      <c r="A6" s="1">
        <v>46025</v>
      </c>
      <c r="B6" s="2" t="s">
        <v>32</v>
      </c>
      <c r="C6" s="2" t="s">
        <v>10</v>
      </c>
      <c r="D6" s="2" t="s">
        <v>33</v>
      </c>
      <c r="E6" s="2">
        <v>8</v>
      </c>
      <c r="F6" s="2">
        <v>55</v>
      </c>
      <c r="G6" s="2" t="s">
        <v>26</v>
      </c>
      <c r="H6" s="2" t="s">
        <v>11</v>
      </c>
      <c r="I6" s="3">
        <f t="shared" si="0"/>
        <v>440</v>
      </c>
    </row>
    <row r="7" spans="1:9">
      <c r="A7" s="1">
        <v>46025</v>
      </c>
      <c r="B7" s="2" t="s">
        <v>34</v>
      </c>
      <c r="C7" s="2" t="s">
        <v>7</v>
      </c>
      <c r="D7" s="2" t="s">
        <v>35</v>
      </c>
      <c r="E7" s="2">
        <v>3</v>
      </c>
      <c r="F7" s="2">
        <v>350</v>
      </c>
      <c r="G7" s="2" t="s">
        <v>23</v>
      </c>
      <c r="H7" s="2" t="s">
        <v>8</v>
      </c>
      <c r="I7" s="3">
        <f t="shared" si="0"/>
        <v>1050</v>
      </c>
    </row>
    <row r="8" spans="1:9">
      <c r="A8" s="1">
        <v>46026</v>
      </c>
      <c r="B8" s="2" t="s">
        <v>36</v>
      </c>
      <c r="C8" s="2" t="s">
        <v>3</v>
      </c>
      <c r="D8" s="2" t="s">
        <v>37</v>
      </c>
      <c r="E8" s="2">
        <v>2</v>
      </c>
      <c r="F8" s="2">
        <v>2600</v>
      </c>
      <c r="G8" s="2" t="s">
        <v>23</v>
      </c>
      <c r="H8" s="2" t="s">
        <v>4</v>
      </c>
      <c r="I8" s="3">
        <f t="shared" si="0"/>
        <v>5200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2026-01-07T01:08:08Z</dcterms:created>
  <dcterms:modified xsi:type="dcterms:W3CDTF">2026-01-07T02:16:56Z</dcterms:modified>
  <cp:category/>
  <cp:contentStatus/>
</cp:coreProperties>
</file>